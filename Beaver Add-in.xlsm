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849ceb11a4134064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azil_uxry2im\Documents\Beaver\Excel Add-in\"/>
    </mc:Choice>
  </mc:AlternateContent>
  <xr:revisionPtr revIDLastSave="0" documentId="13_ncr:1_{119D11C9-8E0F-4A72-BD8A-EE4268CC547F}" xr6:coauthVersionLast="47" xr6:coauthVersionMax="47" xr10:uidLastSave="{00000000-0000-0000-0000-000000000000}"/>
  <bookViews>
    <workbookView xWindow="-107" yWindow="-107" windowWidth="20847" windowHeight="13110" activeTab="2" xr2:uid="{00000000-000D-0000-FFFF-FFFF00000000}"/>
  </bookViews>
  <sheets>
    <sheet name="Sheet1" sheetId="1" r:id="rId1"/>
    <sheet name="e" sheetId="3" r:id="rId2"/>
    <sheet name="Sheet2" sheetId="2" r:id="rId3"/>
    <sheet name="_BeaverUndo" sheetId="9" state="veryHidden" r:id="rId4"/>
  </sheets>
  <functionGroups builtInGroupCount="19"/>
  <definedNames>
    <definedName name="_xlnm._FilterDatabase" localSheetId="0" hidden="1">Sheet1!$O$3:$S$3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6" i="2" l="1"/>
  <c r="D12" i="2"/>
  <c r="D13" i="2"/>
  <c r="D14" i="2"/>
  <c r="D15" i="2"/>
  <c r="D16" i="2"/>
  <c r="D17" i="2"/>
  <c r="D18" i="2"/>
  <c r="M9" i="2"/>
  <c r="M8" i="2"/>
  <c r="K12" i="2"/>
  <c r="K17" i="2"/>
  <c r="K16" i="2"/>
  <c r="K15" i="2"/>
  <c r="H9" i="2"/>
  <c r="H20" i="2"/>
  <c r="H19" i="2"/>
  <c r="H18" i="2"/>
  <c r="H17" i="2"/>
  <c r="H16" i="2"/>
  <c r="H15" i="2"/>
  <c r="H14" i="2"/>
  <c r="H13" i="2"/>
  <c r="H12" i="2"/>
  <c r="H11" i="2"/>
  <c r="H10" i="2"/>
  <c r="H8" i="2"/>
  <c r="E17" i="2"/>
  <c r="E16" i="2"/>
  <c r="E15" i="2"/>
  <c r="E14" i="2"/>
  <c r="E13" i="2"/>
  <c r="E12" i="2"/>
  <c r="E11" i="2"/>
  <c r="E10" i="2"/>
  <c r="E9" i="2"/>
  <c r="E8" i="2"/>
  <c r="I4" i="1" a="1"/>
  <c r="I4" i="1" s="1"/>
  <c r="L15" i="1"/>
  <c r="L14" i="1"/>
  <c r="L13" i="1"/>
  <c r="L10" i="1"/>
  <c r="L9" i="1"/>
  <c r="L8" i="1"/>
  <c r="L7" i="1"/>
  <c r="L6" i="1"/>
  <c r="L5" i="1"/>
  <c r="L4" i="1"/>
  <c r="L3" i="1"/>
  <c r="L2" i="1"/>
  <c r="K15" i="1"/>
  <c r="K14" i="1"/>
  <c r="K13" i="1"/>
  <c r="K12" i="1"/>
  <c r="L12" i="1" s="1"/>
  <c r="K11" i="1"/>
  <c r="L11" i="1" s="1"/>
  <c r="K10" i="1"/>
  <c r="K9" i="1"/>
  <c r="K8" i="1"/>
  <c r="K7" i="1"/>
  <c r="K6" i="1"/>
  <c r="K5" i="1"/>
  <c r="K4" i="1"/>
  <c r="K3" i="1"/>
  <c r="K2" i="1"/>
  <c r="N9" i="1"/>
  <c r="K22" i="2" a="1"/>
  <c r="K2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<sst xmlns="http://schemas.openxmlformats.org/spreadsheetml/2006/main" count="167" uniqueCount="105">
  <si>
    <t>Approx. Price (Lakhs)</t>
  </si>
  <si>
    <t>Maruti Suzuki</t>
  </si>
  <si>
    <t>Sedan</t>
  </si>
  <si>
    <t>₹6.26 - 9.32</t>
  </si>
  <si>
    <t>Hyundai</t>
  </si>
  <si>
    <t>SUV</t>
  </si>
  <si>
    <t>₹10.79 - 20.20</t>
  </si>
  <si>
    <t>Nexon</t>
  </si>
  <si>
    <t>Compact SUV</t>
  </si>
  <si>
    <t>₹7.32 - 14.15</t>
  </si>
  <si>
    <t>Mahindra</t>
  </si>
  <si>
    <t>₹13.66 - 24.92</t>
  </si>
  <si>
    <t>₹5.59 - 10.54</t>
  </si>
  <si>
    <t>₹8.80 - 12.94</t>
  </si>
  <si>
    <t>₹8.34 - 14.14</t>
  </si>
  <si>
    <t>Kia</t>
  </si>
  <si>
    <t>Seltos</t>
  </si>
  <si>
    <t>₹10.99 - 19.99</t>
  </si>
  <si>
    <t>₹13.20 - 24.17</t>
  </si>
  <si>
    <t>₹18.33 - 32.38</t>
  </si>
  <si>
    <t>Baleno</t>
  </si>
  <si>
    <t>Hatchback</t>
  </si>
  <si>
    <t>₹5.99 - 9.10</t>
  </si>
  <si>
    <t>Verna</t>
  </si>
  <si>
    <t>Petrol</t>
  </si>
  <si>
    <t>₹10.80 - 17.13</t>
  </si>
  <si>
    <t>₹10.66 - 19.99</t>
  </si>
  <si>
    <t>Electric</t>
  </si>
  <si>
    <t>₹12.65 - 18.39</t>
  </si>
  <si>
    <t>Segment</t>
  </si>
  <si>
    <t>Mid-size SUV</t>
  </si>
  <si>
    <t>Car_ID</t>
  </si>
  <si>
    <t>Car_Model</t>
  </si>
  <si>
    <t>Manufacturer</t>
  </si>
  <si>
    <t>Fuel_Type</t>
  </si>
  <si>
    <t>Transmission</t>
  </si>
  <si>
    <t>Mileage (kmpl/kg)</t>
  </si>
  <si>
    <t>Safety_Rating (NCAP)</t>
  </si>
  <si>
    <t>Price_Lakh (Ex-Showroom)</t>
  </si>
  <si>
    <t>IND001</t>
  </si>
  <si>
    <t>Swift (New-Gen)</t>
  </si>
  <si>
    <t>Manual</t>
  </si>
  <si>
    <t>3 Stars</t>
  </si>
  <si>
    <t>IND002</t>
  </si>
  <si>
    <t>Tata Motors</t>
  </si>
  <si>
    <t>Diesel</t>
  </si>
  <si>
    <t>AMT</t>
  </si>
  <si>
    <t>5 Stars</t>
  </si>
  <si>
    <t>IND003</t>
  </si>
  <si>
    <t>Thar Roxx</t>
  </si>
  <si>
    <t>IND004</t>
  </si>
  <si>
    <t>Creta Facelift</t>
  </si>
  <si>
    <t>Automatic</t>
  </si>
  <si>
    <t>IND005</t>
  </si>
  <si>
    <t>Dzire (New-Gen)</t>
  </si>
  <si>
    <t>CNG</t>
  </si>
  <si>
    <t>IND006</t>
  </si>
  <si>
    <t>Punch EV</t>
  </si>
  <si>
    <t>Micro SUV</t>
  </si>
  <si>
    <t>421 (Range)</t>
  </si>
  <si>
    <t>IND007</t>
  </si>
  <si>
    <t>Scorpio N</t>
  </si>
  <si>
    <t>IND008</t>
  </si>
  <si>
    <t>2 Stars</t>
  </si>
  <si>
    <t>IND009</t>
  </si>
  <si>
    <t>IND010</t>
  </si>
  <si>
    <t>XUV 3XO</t>
  </si>
  <si>
    <t>IND011</t>
  </si>
  <si>
    <t>Tiago</t>
  </si>
  <si>
    <t>4 Stars</t>
  </si>
  <si>
    <t>IND012</t>
  </si>
  <si>
    <t>Grand Vitara</t>
  </si>
  <si>
    <t>Hybrid</t>
  </si>
  <si>
    <t>e-CVT</t>
  </si>
  <si>
    <t>IND013</t>
  </si>
  <si>
    <t>IND014</t>
  </si>
  <si>
    <t>Amaze (New-Gen)</t>
  </si>
  <si>
    <t>Honda</t>
  </si>
  <si>
    <t>Compact Sedan</t>
  </si>
  <si>
    <t>held</t>
  </si>
  <si>
    <t>Ear</t>
  </si>
  <si>
    <t>This</t>
  </si>
  <si>
    <t>ewe</t>
  </si>
  <si>
    <t>dsf</t>
  </si>
  <si>
    <t>edsdsds</t>
  </si>
  <si>
    <t>ds</t>
  </si>
  <si>
    <t>dsdsdsds</t>
  </si>
  <si>
    <t>fdsgdgdg</t>
  </si>
  <si>
    <t>gfdgdg</t>
  </si>
  <si>
    <t>e</t>
  </si>
  <si>
    <t>take</t>
  </si>
  <si>
    <t>lift</t>
  </si>
  <si>
    <t>gefe</t>
  </si>
  <si>
    <t>Jan</t>
  </si>
  <si>
    <t>g</t>
  </si>
  <si>
    <t>h</t>
  </si>
  <si>
    <t>f</t>
  </si>
  <si>
    <t>id</t>
  </si>
  <si>
    <t>Feb</t>
  </si>
  <si>
    <t>March</t>
  </si>
  <si>
    <t>Beaver Add-in.xlsm</t>
  </si>
  <si>
    <t>Sheet2</t>
  </si>
  <si>
    <t>Insert Hello World</t>
  </si>
  <si>
    <t>Hello world</t>
  </si>
  <si>
    <t>$F$13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</si>
</sst>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6" x14ac:knownFonts="1">
    <font>
      <sz val="11"/>
      <color theme="1"/>
      <name val="Calibri"/>
      <family val="2"/>
      <scheme val="minor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b/>
      <sz val="12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indexed="42"/>
        <bgColor indexed="64"/>
      </patternFill>
    </fill>
    <fill>
      <patternFill patternType="solid">
        <fgColor rgb="FFAEAAAA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2" borderId="2" applyNumberFormat="0" applyAlignment="0" applyProtection="0"/>
  </cellStyleXfs>
  <cellXfs count="14">
    <xf numFmtId="0" fontId="0" fillId="0" borderId="0" xfId="0"/>
    <xf numFmtId="0" fontId="2" fillId="0" borderId="1" xfId="0" applyFont="1" applyBorder="1" applyAlignment="1">
      <alignment vertical="center" wrapText="1" readingOrder="1"/>
    </xf>
    <xf numFmtId="0" fontId="1" fillId="0" borderId="1" xfId="0" applyFont="1" applyBorder="1" applyAlignment="1">
      <alignment vertical="center" wrapText="1" readingOrder="1"/>
    </xf>
    <xf numFmtId="0" fontId="3" fillId="2" borderId="2" xfId="1"/>
    <xf numFmtId="0" fontId="4" fillId="0" borderId="0" xfId="0" applyFont="1"/>
    <xf numFmtId="22" fontId="0" fillId="0" borderId="0" xfId="0" applyNumberFormat="1"/>
    <xf numFmtId="0" fontId="0" fillId="3" borderId="0" xfId="0" applyFill="1"/>
    <xf numFmtId="0" fontId="2" fillId="0" borderId="3" xfId="0" applyFont="1" applyBorder="1" applyAlignment="1">
      <alignment vertical="center" wrapText="1" readingOrder="1"/>
    </xf>
    <xf numFmtId="0" fontId="5" fillId="0" borderId="4" xfId="0" applyFont="1" applyBorder="1" applyAlignment="1">
      <alignment horizontal="left"/>
    </xf>
    <xf numFmtId="3" fontId="5" fillId="0" borderId="4" xfId="0" applyNumberFormat="1" applyFont="1" applyBorder="1" applyAlignment="1">
      <alignment horizontal="left"/>
    </xf>
    <xf numFmtId="0" fontId="4" fillId="4" borderId="4" xfId="0" applyFont="1" applyFill="1" applyBorder="1" applyAlignment="1">
      <alignment horizontal="left"/>
    </xf>
    <xf numFmtId="3" fontId="0" fillId="0" borderId="0" xfId="0" applyNumberFormat="1"/>
    <xf numFmtId="164" fontId="0" fillId="0" borderId="0" xfId="0" applyNumberFormat="1"/>
    <xf numFmtId="0" fontId="0" fillId="5" borderId="0" xfId="0" applyFill="1"/>
  </cellXfs>
  <cellStyles count="2">
    <cellStyle name="Check Cell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S15"/>
  <sheetViews>
    <sheetView workbookViewId="0">
      <selection activeCell="K6" sqref="K6"/>
    </sheetView>
  </sheetViews>
  <sheetFormatPr defaultRowHeight="14" x14ac:dyDescent="0.3"/>
  <cols>
    <col min="1" max="1" width="7.5" bestFit="1" customWidth="1"/>
    <col min="2" max="2" width="8.19921875" bestFit="1" customWidth="1"/>
    <col min="3" max="3" width="7.8984375" bestFit="1" customWidth="1"/>
    <col min="5" max="5" width="8.3984375" bestFit="1" customWidth="1"/>
    <col min="6" max="6" width="8.59765625" bestFit="1" customWidth="1"/>
    <col min="7" max="7" width="8.09765625" bestFit="1" customWidth="1"/>
    <col min="8" max="8" width="8" bestFit="1" customWidth="1"/>
    <col min="9" max="9" width="8.69921875" bestFit="1" customWidth="1"/>
    <col min="10" max="10" width="19.19921875" customWidth="1"/>
    <col min="15" max="15" width="9.59765625" bestFit="1" customWidth="1"/>
    <col min="16" max="16" width="10.3984375" bestFit="1" customWidth="1"/>
    <col min="17" max="17" width="10.296875" bestFit="1" customWidth="1"/>
    <col min="18" max="18" width="6.19921875" bestFit="1" customWidth="1"/>
    <col min="19" max="19" width="2.69921875" bestFit="1" customWidth="1"/>
  </cols>
  <sheetData>
    <row r="1" spans="1:19" ht="56.45" thickBot="1" x14ac:dyDescent="0.35">
      <c r="A1" s="1" t="s">
        <v>31</v>
      </c>
      <c r="B1" s="1" t="s">
        <v>32</v>
      </c>
      <c r="C1" s="1" t="s">
        <v>33</v>
      </c>
      <c r="D1" s="1" t="s">
        <v>29</v>
      </c>
      <c r="E1" s="1" t="s">
        <v>34</v>
      </c>
      <c r="F1" s="1" t="s">
        <v>35</v>
      </c>
      <c r="G1" s="1" t="s">
        <v>36</v>
      </c>
      <c r="H1" s="1" t="s">
        <v>37</v>
      </c>
      <c r="I1" s="1" t="s">
        <v>38</v>
      </c>
      <c r="J1" s="1" t="s">
        <v>0</v>
      </c>
      <c r="K1" s="7" t="s">
        <v>80</v>
      </c>
      <c r="L1" s="7" t="s">
        <v>81</v>
      </c>
    </row>
    <row r="2" spans="1:19" ht="40.85" thickBot="1" x14ac:dyDescent="0.35">
      <c r="A2" s="2" t="s">
        <v>39</v>
      </c>
      <c r="B2" s="2" t="s">
        <v>40</v>
      </c>
      <c r="C2" s="2" t="s">
        <v>1</v>
      </c>
      <c r="D2" s="2" t="s">
        <v>21</v>
      </c>
      <c r="E2" s="2" t="s">
        <v>24</v>
      </c>
      <c r="F2" s="2" t="s">
        <v>41</v>
      </c>
      <c r="G2" s="2">
        <v>24.8</v>
      </c>
      <c r="H2" s="2" t="s">
        <v>42</v>
      </c>
      <c r="I2" s="2">
        <v>6.49</v>
      </c>
      <c r="J2" s="2" t="s">
        <v>3</v>
      </c>
      <c r="K2" s="2" t="str">
        <f>H2</f>
        <v>3 Stars</v>
      </c>
      <c r="L2" s="2" t="str">
        <f>K2</f>
        <v>3 Stars</v>
      </c>
      <c r="M2" t="s">
        <v>82</v>
      </c>
      <c r="N2" t="s">
        <v>83</v>
      </c>
    </row>
    <row r="3" spans="1:19" ht="27.4" thickBot="1" x14ac:dyDescent="0.35">
      <c r="A3" s="2" t="s">
        <v>43</v>
      </c>
      <c r="B3" s="2" t="s">
        <v>7</v>
      </c>
      <c r="C3" s="2" t="s">
        <v>44</v>
      </c>
      <c r="D3" s="2" t="s">
        <v>8</v>
      </c>
      <c r="E3" s="2" t="s">
        <v>45</v>
      </c>
      <c r="F3" s="2" t="s">
        <v>46</v>
      </c>
      <c r="G3" s="2">
        <v>23.2</v>
      </c>
      <c r="H3" s="2" t="s">
        <v>47</v>
      </c>
      <c r="I3" s="2">
        <v>12.8</v>
      </c>
      <c r="J3" s="2" t="s">
        <v>6</v>
      </c>
      <c r="K3" s="2" t="str">
        <f t="shared" ref="K3:K15" si="0">H3</f>
        <v>5 Stars</v>
      </c>
      <c r="L3" s="2" t="str">
        <f t="shared" ref="L3:L15" si="1">K3</f>
        <v>5 Stars</v>
      </c>
      <c r="M3" t="s">
        <v>82</v>
      </c>
      <c r="O3" s="10" t="s">
        <v>84</v>
      </c>
      <c r="P3" s="10" t="s">
        <v>86</v>
      </c>
      <c r="Q3" s="10" t="s">
        <v>87</v>
      </c>
      <c r="R3" s="10" t="s">
        <v>88</v>
      </c>
      <c r="S3" s="10" t="s">
        <v>85</v>
      </c>
    </row>
    <row r="4" spans="1:19" ht="27.4" thickBot="1" x14ac:dyDescent="0.35">
      <c r="A4" s="2" t="s">
        <v>48</v>
      </c>
      <c r="B4" s="2" t="s">
        <v>49</v>
      </c>
      <c r="C4" s="2" t="s">
        <v>10</v>
      </c>
      <c r="D4" s="2" t="s">
        <v>5</v>
      </c>
      <c r="E4" s="2" t="s">
        <v>45</v>
      </c>
      <c r="F4" s="2" t="s">
        <v>41</v>
      </c>
      <c r="G4" s="2">
        <v>15.2</v>
      </c>
      <c r="H4" s="2" t="s">
        <v>47</v>
      </c>
      <c r="I4" s="2" t="str" cm="1">
        <f t="array" ref="I4:I15">H4:H15</f>
        <v>5 Stars</v>
      </c>
      <c r="J4" s="2" t="s">
        <v>9</v>
      </c>
      <c r="K4" s="2" t="str">
        <f t="shared" si="0"/>
        <v>5 Stars</v>
      </c>
      <c r="L4" s="2" t="str">
        <f t="shared" si="1"/>
        <v>5 Stars</v>
      </c>
      <c r="M4" s="11" t="s">
        <v>82</v>
      </c>
      <c r="O4" s="9">
        <v>5464</v>
      </c>
      <c r="P4" s="9">
        <v>4</v>
      </c>
      <c r="Q4" s="9">
        <v>5</v>
      </c>
      <c r="R4" s="8"/>
      <c r="S4" s="8"/>
    </row>
    <row r="5" spans="1:19" ht="27.95" thickTop="1" thickBot="1" x14ac:dyDescent="0.4">
      <c r="A5" s="2" t="s">
        <v>50</v>
      </c>
      <c r="B5" s="2" t="s">
        <v>51</v>
      </c>
      <c r="C5" s="2" t="s">
        <v>4</v>
      </c>
      <c r="D5" s="2" t="s">
        <v>30</v>
      </c>
      <c r="E5" s="2" t="s">
        <v>24</v>
      </c>
      <c r="F5" s="2" t="s">
        <v>52</v>
      </c>
      <c r="G5" s="2">
        <v>17.399999999999999</v>
      </c>
      <c r="H5" s="2" t="s">
        <v>47</v>
      </c>
      <c r="I5" s="2" t="str">
        <v>5 Stars</v>
      </c>
      <c r="J5" s="2" t="s">
        <v>11</v>
      </c>
      <c r="K5" s="2" t="str">
        <f t="shared" si="0"/>
        <v>5 Stars</v>
      </c>
      <c r="L5" s="2" t="str">
        <f t="shared" si="1"/>
        <v>5 Stars</v>
      </c>
      <c r="M5" t="s">
        <v>82</v>
      </c>
      <c r="N5" s="3" t="s">
        <v>79</v>
      </c>
      <c r="O5" s="9">
        <v>64</v>
      </c>
      <c r="P5" s="9">
        <v>54</v>
      </c>
      <c r="Q5" s="9">
        <v>54</v>
      </c>
      <c r="R5" s="8"/>
      <c r="S5" s="8"/>
    </row>
    <row r="6" spans="1:19" ht="40.85" thickBot="1" x14ac:dyDescent="0.35">
      <c r="A6" s="2" t="s">
        <v>53</v>
      </c>
      <c r="B6" s="2" t="s">
        <v>54</v>
      </c>
      <c r="C6" s="2" t="s">
        <v>1</v>
      </c>
      <c r="D6" s="2" t="s">
        <v>2</v>
      </c>
      <c r="E6" s="2" t="s">
        <v>55</v>
      </c>
      <c r="F6" s="2" t="s">
        <v>41</v>
      </c>
      <c r="G6" s="2">
        <v>33.729999999999997</v>
      </c>
      <c r="H6" s="2" t="s">
        <v>47</v>
      </c>
      <c r="I6" s="2" t="str">
        <v>5 Stars</v>
      </c>
      <c r="J6" s="2" t="s">
        <v>12</v>
      </c>
      <c r="K6" s="2" t="str">
        <f t="shared" si="0"/>
        <v>5 Stars</v>
      </c>
      <c r="L6" s="2" t="str">
        <f t="shared" si="1"/>
        <v>5 Stars</v>
      </c>
      <c r="M6" t="s">
        <v>82</v>
      </c>
      <c r="O6" s="9">
        <v>454</v>
      </c>
      <c r="P6" s="9">
        <v>5</v>
      </c>
      <c r="Q6" s="9">
        <v>54</v>
      </c>
      <c r="R6" s="8"/>
      <c r="S6" s="8"/>
    </row>
    <row r="7" spans="1:19" ht="27.4" thickBot="1" x14ac:dyDescent="0.35">
      <c r="A7" s="2" t="s">
        <v>56</v>
      </c>
      <c r="B7" s="2" t="s">
        <v>57</v>
      </c>
      <c r="C7" s="2" t="s">
        <v>44</v>
      </c>
      <c r="D7" s="2" t="s">
        <v>58</v>
      </c>
      <c r="E7" s="2" t="s">
        <v>27</v>
      </c>
      <c r="F7" s="2" t="s">
        <v>52</v>
      </c>
      <c r="G7" s="2" t="s">
        <v>59</v>
      </c>
      <c r="H7" s="2" t="s">
        <v>47</v>
      </c>
      <c r="I7" s="2" t="str">
        <v>5 Stars</v>
      </c>
      <c r="J7" s="2" t="s">
        <v>13</v>
      </c>
      <c r="K7" s="2" t="str">
        <f t="shared" si="0"/>
        <v>5 Stars</v>
      </c>
      <c r="L7" s="2" t="str">
        <f t="shared" si="1"/>
        <v>5 Stars</v>
      </c>
      <c r="M7" t="s">
        <v>82</v>
      </c>
    </row>
    <row r="8" spans="1:19" ht="27.4" thickBot="1" x14ac:dyDescent="0.35">
      <c r="A8" s="2" t="s">
        <v>60</v>
      </c>
      <c r="B8" s="2" t="s">
        <v>61</v>
      </c>
      <c r="C8" s="2" t="s">
        <v>10</v>
      </c>
      <c r="D8" s="2" t="s">
        <v>5</v>
      </c>
      <c r="E8" s="2" t="s">
        <v>45</v>
      </c>
      <c r="F8" s="2" t="s">
        <v>52</v>
      </c>
      <c r="G8" s="2">
        <v>14.1</v>
      </c>
      <c r="H8" s="2" t="s">
        <v>47</v>
      </c>
      <c r="I8" s="2" t="str">
        <v>5 Stars</v>
      </c>
      <c r="J8" s="2" t="s">
        <v>14</v>
      </c>
      <c r="K8" s="2" t="str">
        <f t="shared" si="0"/>
        <v>5 Stars</v>
      </c>
      <c r="L8" s="2" t="str">
        <f t="shared" si="1"/>
        <v>5 Stars</v>
      </c>
      <c r="M8" t="s">
        <v>82</v>
      </c>
    </row>
    <row r="9" spans="1:19" ht="27.4" thickBot="1" x14ac:dyDescent="0.35">
      <c r="A9" s="2" t="s">
        <v>62</v>
      </c>
      <c r="B9" s="2" t="s">
        <v>20</v>
      </c>
      <c r="C9" s="2" t="s">
        <v>1</v>
      </c>
      <c r="D9" s="2" t="s">
        <v>21</v>
      </c>
      <c r="E9" s="2" t="s">
        <v>24</v>
      </c>
      <c r="F9" s="2" t="s">
        <v>46</v>
      </c>
      <c r="G9" s="2">
        <v>22.9</v>
      </c>
      <c r="H9" s="2" t="s">
        <v>63</v>
      </c>
      <c r="I9" s="2" t="str">
        <v>2 Stars</v>
      </c>
      <c r="J9" s="2" t="s">
        <v>17</v>
      </c>
      <c r="K9" s="2" t="str">
        <f t="shared" si="0"/>
        <v>2 Stars</v>
      </c>
      <c r="L9" s="2" t="str">
        <f t="shared" si="1"/>
        <v>2 Stars</v>
      </c>
      <c r="M9" t="s">
        <v>82</v>
      </c>
      <c r="N9" s="4">
        <f>N8+53</f>
        <v>53</v>
      </c>
    </row>
    <row r="10" spans="1:19" ht="14.55" thickBot="1" x14ac:dyDescent="0.35">
      <c r="A10" s="2" t="s">
        <v>64</v>
      </c>
      <c r="B10" s="2" t="s">
        <v>23</v>
      </c>
      <c r="C10" s="2" t="s">
        <v>4</v>
      </c>
      <c r="D10" s="2" t="s">
        <v>2</v>
      </c>
      <c r="E10" s="2" t="s">
        <v>24</v>
      </c>
      <c r="F10" s="2" t="s">
        <v>41</v>
      </c>
      <c r="G10" s="2">
        <v>18.600000000000001</v>
      </c>
      <c r="H10" s="2" t="s">
        <v>47</v>
      </c>
      <c r="I10" s="2" t="str">
        <v>5 Stars</v>
      </c>
      <c r="J10" s="2" t="s">
        <v>18</v>
      </c>
      <c r="K10" s="2" t="str">
        <f t="shared" si="0"/>
        <v>5 Stars</v>
      </c>
      <c r="L10" s="2" t="str">
        <f t="shared" si="1"/>
        <v>5 Stars</v>
      </c>
      <c r="M10" t="s">
        <v>82</v>
      </c>
    </row>
    <row r="11" spans="1:19" ht="27.4" thickBot="1" x14ac:dyDescent="0.35">
      <c r="A11" s="2" t="s">
        <v>65</v>
      </c>
      <c r="B11" s="2" t="s">
        <v>66</v>
      </c>
      <c r="C11" s="2" t="s">
        <v>10</v>
      </c>
      <c r="D11" s="2" t="s">
        <v>8</v>
      </c>
      <c r="E11" s="2" t="s">
        <v>24</v>
      </c>
      <c r="F11" s="2" t="s">
        <v>52</v>
      </c>
      <c r="G11" s="2">
        <v>18.899999999999999</v>
      </c>
      <c r="H11" s="2" t="s">
        <v>47</v>
      </c>
      <c r="I11" s="2" t="str">
        <v>5 Stars</v>
      </c>
      <c r="J11" s="2" t="s">
        <v>19</v>
      </c>
      <c r="K11" s="2" t="str">
        <f t="shared" si="0"/>
        <v>5 Stars</v>
      </c>
      <c r="L11" s="2" t="str">
        <f t="shared" si="1"/>
        <v>5 Stars</v>
      </c>
      <c r="M11" t="s">
        <v>82</v>
      </c>
    </row>
    <row r="12" spans="1:19" ht="27.4" thickBot="1" x14ac:dyDescent="0.35">
      <c r="A12" s="2" t="s">
        <v>67</v>
      </c>
      <c r="B12" s="2" t="s">
        <v>68</v>
      </c>
      <c r="C12" s="2" t="s">
        <v>44</v>
      </c>
      <c r="D12" s="2" t="s">
        <v>21</v>
      </c>
      <c r="E12" s="2" t="s">
        <v>55</v>
      </c>
      <c r="F12" s="2" t="s">
        <v>41</v>
      </c>
      <c r="G12" s="2">
        <v>26.4</v>
      </c>
      <c r="H12" s="2" t="s">
        <v>69</v>
      </c>
      <c r="I12" s="2" t="str">
        <v>4 Stars</v>
      </c>
      <c r="J12" s="2" t="s">
        <v>22</v>
      </c>
      <c r="K12" s="2" t="str">
        <f t="shared" si="0"/>
        <v>4 Stars</v>
      </c>
      <c r="L12" s="2" t="str">
        <f t="shared" si="1"/>
        <v>4 Stars</v>
      </c>
      <c r="M12" t="s">
        <v>82</v>
      </c>
    </row>
    <row r="13" spans="1:19" ht="27.4" thickBot="1" x14ac:dyDescent="0.35">
      <c r="A13" s="2" t="s">
        <v>70</v>
      </c>
      <c r="B13" s="2" t="s">
        <v>71</v>
      </c>
      <c r="C13" s="2" t="s">
        <v>1</v>
      </c>
      <c r="D13" s="2" t="s">
        <v>30</v>
      </c>
      <c r="E13" s="2" t="s">
        <v>72</v>
      </c>
      <c r="F13" s="2" t="s">
        <v>73</v>
      </c>
      <c r="G13" s="2">
        <v>27.97</v>
      </c>
      <c r="H13" s="2" t="s">
        <v>69</v>
      </c>
      <c r="I13" s="2" t="str">
        <v>4 Stars</v>
      </c>
      <c r="J13" s="2" t="s">
        <v>25</v>
      </c>
      <c r="K13" s="2" t="str">
        <f t="shared" si="0"/>
        <v>4 Stars</v>
      </c>
      <c r="L13" s="2" t="str">
        <f t="shared" si="1"/>
        <v>4 Stars</v>
      </c>
      <c r="M13" t="s">
        <v>82</v>
      </c>
    </row>
    <row r="14" spans="1:19" ht="27.4" thickBot="1" x14ac:dyDescent="0.35">
      <c r="A14" s="2" t="s">
        <v>74</v>
      </c>
      <c r="B14" s="2" t="s">
        <v>16</v>
      </c>
      <c r="C14" s="2" t="s">
        <v>15</v>
      </c>
      <c r="D14" s="2" t="s">
        <v>30</v>
      </c>
      <c r="E14" s="2" t="s">
        <v>45</v>
      </c>
      <c r="F14" s="2" t="s">
        <v>52</v>
      </c>
      <c r="G14" s="2">
        <v>19.100000000000001</v>
      </c>
      <c r="H14" s="2" t="s">
        <v>42</v>
      </c>
      <c r="I14" s="2" t="str">
        <v>3 Stars</v>
      </c>
      <c r="J14" s="2" t="s">
        <v>26</v>
      </c>
      <c r="K14" s="2" t="str">
        <f t="shared" si="0"/>
        <v>3 Stars</v>
      </c>
      <c r="L14" s="2" t="str">
        <f t="shared" si="1"/>
        <v>3 Stars</v>
      </c>
      <c r="M14" t="s">
        <v>82</v>
      </c>
    </row>
    <row r="15" spans="1:19" ht="40.85" thickBot="1" x14ac:dyDescent="0.35">
      <c r="A15" s="2" t="s">
        <v>75</v>
      </c>
      <c r="B15" s="2" t="s">
        <v>76</v>
      </c>
      <c r="C15" s="2" t="s">
        <v>77</v>
      </c>
      <c r="D15" s="2" t="s">
        <v>78</v>
      </c>
      <c r="E15" s="2" t="s">
        <v>24</v>
      </c>
      <c r="F15" s="2" t="s">
        <v>41</v>
      </c>
      <c r="G15" s="2">
        <v>18.600000000000001</v>
      </c>
      <c r="H15" s="2" t="s">
        <v>69</v>
      </c>
      <c r="I15" s="2" t="str">
        <v>4 Stars</v>
      </c>
      <c r="J15" s="2" t="s">
        <v>28</v>
      </c>
      <c r="K15" s="2" t="str">
        <f t="shared" si="0"/>
        <v>4 Stars</v>
      </c>
      <c r="L15" s="2" t="str">
        <f t="shared" si="1"/>
        <v>4 Stars</v>
      </c>
      <c r="M15" t="s">
        <v>82</v>
      </c>
    </row>
  </sheetData>
  <autoFilter ref="O3:S3" xr:uid="{00000000-0001-0000-0000-000000000000}"/>
  <printOptions horizontalCentered="1"/>
  <pageMargins left="0.25" right="0.25" top="0.75" bottom="0.75" header="0.3" footer="0.3"/>
  <pageSetup paperSize="9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0E5CB-ACE4-4B52-AA05-57DBF3455312}">
  <sheetPr codeName="Sheet3"/>
  <dimension ref="G13:I13"/>
  <sheetViews>
    <sheetView workbookViewId="0">
      <selection activeCell="K6" sqref="K6"/>
    </sheetView>
  </sheetViews>
  <sheetFormatPr defaultRowHeight="14" x14ac:dyDescent="0.3"/>
  <sheetData>
    <row r="13" spans="7:9" x14ac:dyDescent="0.3">
      <c r="G13" t="s">
        <v>92</v>
      </c>
      <c r="I13" t="s">
        <v>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1BE30-B82E-4D9E-9756-E3175FC6AF64}">
  <sheetPr codeName="Sheet2">
    <pageSetUpPr fitToPage="1"/>
  </sheetPr>
  <dimension ref="B1:N31"/>
  <sheetViews>
    <sheetView tabSelected="1" topLeftCell="A5" workbookViewId="0">
      <selection activeCell="E12" sqref="E12"/>
    </sheetView>
  </sheetViews>
  <sheetFormatPr defaultRowHeight="14" x14ac:dyDescent="0.3"/>
  <cols>
    <col min="4" max="4" width="22.5" customWidth="1"/>
    <col min="5" max="5" width="14.09765625" customWidth="1"/>
    <col min="6" max="6" width="11.09765625" bestFit="1" customWidth="1"/>
    <col min="12" max="12" width="20" customWidth="1"/>
    <col min="13" max="13" width="21.59765625" customWidth="1"/>
  </cols>
  <sheetData>
    <row r="1" spans="2:14" x14ac:dyDescent="0.3">
      <c r="B1" s="6"/>
    </row>
    <row r="6" spans="2:14" x14ac:dyDescent="0.3">
      <c r="D6" s="5"/>
      <c r="E6" s="13"/>
      <c r="F6" s="13"/>
      <c r="J6" t="s">
        <v>85</v>
      </c>
    </row>
    <row r="7" spans="2:14" x14ac:dyDescent="0.3">
      <c r="E7" s="13"/>
      <c r="F7" s="13"/>
    </row>
    <row r="8" spans="2:14" x14ac:dyDescent="0.3">
      <c r="E8" t="str">
        <f>(((3)*3)*4)&amp;" Hello"</f>
        <v>36 Hello</v>
      </c>
      <c r="H8" t="str">
        <f>"rtg"&amp;" Hello"</f>
        <v>rtg Hello</v>
      </c>
      <c r="M8" t="str">
        <f>"trump "&amp;" hello world we hae here"</f>
        <v>trump  hello world we hae here</v>
      </c>
      <c r="N8">
        <v>45</v>
      </c>
    </row>
    <row r="9" spans="2:14" x14ac:dyDescent="0.3">
      <c r="E9" t="str">
        <f>(((63)*3)*4)&amp;" Hello"</f>
        <v>756 Hello</v>
      </c>
      <c r="H9" t="str">
        <f>("fdfd"&amp;" Hello")&amp;" make me"</f>
        <v>fdfd Hello make me</v>
      </c>
      <c r="K9">
        <v>32</v>
      </c>
      <c r="M9" t="str">
        <f>"me "&amp;" hello world we hae here"</f>
        <v>me  hello world we hae here</v>
      </c>
      <c r="N9">
        <v>74</v>
      </c>
    </row>
    <row r="10" spans="2:14" x14ac:dyDescent="0.3">
      <c r="E10" t="str">
        <f>((6)*4)&amp;" Hello"</f>
        <v>24 Hello</v>
      </c>
      <c r="F10" s="12"/>
      <c r="H10" t="str">
        <f>"fdfd"&amp;" Hello"</f>
        <v>fdfd Hello</v>
      </c>
      <c r="K10">
        <v>42</v>
      </c>
      <c r="M10" t="s">
        <v>90</v>
      </c>
      <c r="N10">
        <v>36</v>
      </c>
    </row>
    <row r="11" spans="2:14" x14ac:dyDescent="0.3">
      <c r="E11" t="str">
        <f>((4)*4)&amp;" Hello"</f>
        <v>16 Hello</v>
      </c>
      <c r="H11" t="str">
        <f>"d"&amp;" Hello"</f>
        <v>d Hello</v>
      </c>
      <c r="K11">
        <v>42</v>
      </c>
      <c r="M11" t="s">
        <v>91</v>
      </c>
      <c r="N11">
        <v>7464</v>
      </c>
    </row>
    <row r="12" spans="2:14" x14ac:dyDescent="0.3">
      <c r="D12" t="str">
        <f>(((32)*10)+2)&amp;" Hello"</f>
        <v>322 Hello</v>
      </c>
      <c r="E12" t="str">
        <f>((75)*4)&amp;" Hello"</f>
        <v>300 Hello</v>
      </c>
      <c r="H12" t="str">
        <f>"d"&amp;" Hello"</f>
        <v>d Hello</v>
      </c>
      <c r="K12">
        <f>(4)*42</f>
        <v>168</v>
      </c>
    </row>
    <row r="13" spans="2:14" x14ac:dyDescent="0.3">
      <c r="D13" t="str">
        <f>(((42)*10)+2)&amp;" Hello"</f>
        <v>422 Hello</v>
      </c>
      <c r="E13" t="str">
        <f>((46)*4)&amp;" Hello"</f>
        <v>184 Hello</v>
      </c>
      <c r="F13" t="s">
        <v>103</v>
      </c>
      <c r="H13" t="str">
        <f>"fdfd"&amp;" Hello"</f>
        <v>fdfd Hello</v>
      </c>
      <c r="K13">
        <v>2</v>
      </c>
    </row>
    <row r="14" spans="2:14" x14ac:dyDescent="0.3">
      <c r="D14" t="str">
        <f>(((42)*10)+2)&amp;" Hello"</f>
        <v>422 Hello</v>
      </c>
      <c r="E14" t="str">
        <f>((45)*4)&amp;" Hello"</f>
        <v>180 Hello</v>
      </c>
      <c r="H14" t="str">
        <f>"fdfd"&amp;" Hello"</f>
        <v>fdfd Hello</v>
      </c>
      <c r="K14">
        <v>42</v>
      </c>
    </row>
    <row r="15" spans="2:14" x14ac:dyDescent="0.3">
      <c r="D15" t="str">
        <f>(((4)*10)+2)&amp;" Hello"</f>
        <v>42 Hello</v>
      </c>
      <c r="E15" t="str">
        <f>((45)*4)&amp;" Hello"</f>
        <v>180 Hello</v>
      </c>
      <c r="H15" t="str">
        <f>"df"&amp;" Hello"</f>
        <v>df Hello</v>
      </c>
      <c r="K15">
        <f>(42)*532</f>
        <v>22344</v>
      </c>
    </row>
    <row r="16" spans="2:14" x14ac:dyDescent="0.3">
      <c r="D16" t="str">
        <f>(((23)*10)+2)&amp;" Hello"</f>
        <v>232 Hello</v>
      </c>
      <c r="E16" t="str">
        <f>((3)*4)&amp;" Hello"</f>
        <v>12 Hello</v>
      </c>
      <c r="H16" t="str">
        <f>"d"&amp;" Hello"</f>
        <v>d Hello</v>
      </c>
      <c r="K16">
        <f>(324)*532</f>
        <v>172368</v>
      </c>
    </row>
    <row r="17" spans="4:13" x14ac:dyDescent="0.3">
      <c r="D17" t="str">
        <f>(((12)*10)+2)&amp;" Hello"</f>
        <v>122 Hello</v>
      </c>
      <c r="E17" t="str">
        <f>((43)*4)&amp;" Hello"</f>
        <v>172 Hello</v>
      </c>
      <c r="H17" t="str">
        <f>"fdfd"&amp;" Hello"</f>
        <v>fdfd Hello</v>
      </c>
      <c r="K17">
        <f>(252)*532</f>
        <v>134064</v>
      </c>
      <c r="M17" t="s">
        <v>103</v>
      </c>
    </row>
    <row r="18" spans="4:13" x14ac:dyDescent="0.3">
      <c r="D18" t="str">
        <f>(((1)*10)+2)&amp;" Hello"</f>
        <v>12 Hello</v>
      </c>
      <c r="F18" t="s">
        <v>95</v>
      </c>
      <c r="H18" t="str">
        <f>"fdfd"&amp;" Hello"</f>
        <v>fdfd Hello</v>
      </c>
    </row>
    <row r="19" spans="4:13" x14ac:dyDescent="0.3">
      <c r="F19" t="s">
        <v>103</v>
      </c>
      <c r="H19" t="str">
        <f>"df"&amp;" Hello"</f>
        <v>df Hello</v>
      </c>
    </row>
    <row r="20" spans="4:13" x14ac:dyDescent="0.3">
      <c r="H20" t="str">
        <f>"d"&amp;" Hello"</f>
        <v>d Hello</v>
      </c>
    </row>
    <row r="21" spans="4:13" x14ac:dyDescent="0.3">
      <c r="D21" t="s">
        <v>94</v>
      </c>
      <c r="E21" t="s">
        <v>96</v>
      </c>
    </row>
    <row r="22" spans="4:13" x14ac:dyDescent="0.3">
      <c r="D22" t="s">
        <v>95</v>
      </c>
      <c r="E22" t="s">
        <v>97</v>
      </c>
      <c r="F22" t="s">
        <v>93</v>
      </c>
      <c r="G22" t="s">
        <v>98</v>
      </c>
      <c r="H22" t="s">
        <v>99</v>
      </c>
      <c r="K22" t="str" cm="1">
        <f t="array" ref="K22:M31">XUnpivot(E22:H25,1,"Amount","Sales")</f>
        <v>id</v>
      </c>
      <c r="L22" t="str">
        <v>Sales</v>
      </c>
      <c r="M22" t="str">
        <v>Value</v>
      </c>
    </row>
    <row r="23" spans="4:13" x14ac:dyDescent="0.3">
      <c r="D23" t="s">
        <v>103</v>
      </c>
      <c r="E23">
        <v>1</v>
      </c>
      <c r="F23">
        <v>32</v>
      </c>
      <c r="G23">
        <v>42</v>
      </c>
      <c r="H23">
        <v>42</v>
      </c>
      <c r="K23">
        <v>1</v>
      </c>
      <c r="L23" t="str">
        <v>Jan</v>
      </c>
      <c r="M23">
        <v>32</v>
      </c>
    </row>
    <row r="24" spans="4:13" x14ac:dyDescent="0.3">
      <c r="E24">
        <v>2</v>
      </c>
      <c r="F24">
        <v>42</v>
      </c>
      <c r="G24">
        <v>42</v>
      </c>
      <c r="H24">
        <v>42</v>
      </c>
      <c r="K24">
        <v>1</v>
      </c>
      <c r="L24" t="str">
        <v>Feb</v>
      </c>
      <c r="M24">
        <v>42</v>
      </c>
    </row>
    <row r="25" spans="4:13" x14ac:dyDescent="0.3">
      <c r="E25">
        <v>3</v>
      </c>
      <c r="F25">
        <v>42</v>
      </c>
      <c r="G25">
        <v>42</v>
      </c>
      <c r="H25">
        <v>42</v>
      </c>
      <c r="K25">
        <v>1</v>
      </c>
      <c r="L25" t="str">
        <v>March</v>
      </c>
      <c r="M25">
        <v>42</v>
      </c>
    </row>
    <row r="26" spans="4:13" x14ac:dyDescent="0.3">
      <c r="E26">
        <f>(3242)+4200</f>
        <v>7442</v>
      </c>
      <c r="F26">
        <v>3242</v>
      </c>
      <c r="K26">
        <v>2</v>
      </c>
      <c r="L26" t="str">
        <v>Jan</v>
      </c>
      <c r="M26">
        <v>42</v>
      </c>
    </row>
    <row r="27" spans="4:13" x14ac:dyDescent="0.3">
      <c r="K27">
        <v>2</v>
      </c>
      <c r="L27" t="str">
        <v>Feb</v>
      </c>
      <c r="M27">
        <v>42</v>
      </c>
    </row>
    <row r="28" spans="4:13" x14ac:dyDescent="0.3">
      <c r="K28">
        <v>2</v>
      </c>
      <c r="L28" t="str">
        <v>March</v>
      </c>
      <c r="M28">
        <v>42</v>
      </c>
    </row>
    <row r="29" spans="4:13" x14ac:dyDescent="0.3">
      <c r="K29">
        <v>3</v>
      </c>
      <c r="L29" t="str">
        <v>Jan</v>
      </c>
      <c r="M29">
        <v>42</v>
      </c>
    </row>
    <row r="30" spans="4:13" x14ac:dyDescent="0.3">
      <c r="K30">
        <v>3</v>
      </c>
      <c r="L30" t="str">
        <v>Feb</v>
      </c>
      <c r="M30">
        <v>42</v>
      </c>
    </row>
    <row r="31" spans="4:13" x14ac:dyDescent="0.3">
      <c r="K31">
        <v>3</v>
      </c>
      <c r="L31" t="str">
        <v>March</v>
      </c>
      <c r="M31">
        <v>42</v>
      </c>
    </row>
  </sheetData>
  <printOptions horizontalCentered="1"/>
  <pageMargins left="0.25" right="0.25" top="0.75" bottom="0.75" header="0.3" footer="0.3"/>
  <pageSetup paperSize="9" scale="84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92B25-E56C-43B8-9AA8-860A3943739A}">
  <sheetPr codeName="Sheet4"/>
  <dimension ref="ZZ1:ZZ4"/>
  <sheetViews>
    <sheetView workbookViewId="0"/>
  </sheetViews>
  <sheetFormatPr defaultRowHeight="14" x14ac:dyDescent="0.3"/>
  <sheetData>
    <row r="1" spans="702:702" x14ac:dyDescent="0.3">
      <c r="ZZ1" t="s">
        <v>100</v>
      </c>
    </row>
    <row r="2" spans="702:702" x14ac:dyDescent="0.3">
      <c r="ZZ2" t="s">
        <v>101</v>
      </c>
    </row>
    <row r="3" spans="702:702" x14ac:dyDescent="0.3">
      <c r="ZZ3" t="s">
        <v>104</v>
      </c>
    </row>
    <row r="4" spans="702:702" x14ac:dyDescent="0.3">
      <c r="ZZ4" t="s">
        <v>102</v>
      </c>
    </row>
  </sheetData>
  <pageMargins left="0.7" right="0.7" top="0.75" bottom="0.75" header="0.3" footer="0.3"/>
</worksheet>
</file>

<file path=customUI/customUI14.xml><?xml version="1.0" encoding="utf-8"?>
<!--
  @Module: ribbon.xml
  @Category: UI
  @Description: Generated Ribbon UI definition for the Beaver Add-in.
  @ManagedBy: BeaverAddin Agent
  @Source: features.json via Update.ps1
-->
<customUI xmlns="http://schemas.microsoft.com/office/2009/07/customui">
  <ribbon>
    <tabs>
      <tab id="BeaverTab" label="BEAVER" keytip="B">
        <group id="GrpFormatting" label="Formatting">
          <button id="BtnMergeFormulas" label="Merge Formulas" getImage="Ribbon_GetIcon" size="large" onAction="Ribbon_OnMergeFormulas" keytip="MF" screentip="Merge Formulas" supertip="Selects two related cells and inlines the precedent formula into the dependent, producing a single combined formula. Fully spill-range and dynamic array safe."/>
          <button id="BtnWrap" label="Wrap Formula" getImage="Ribbon_GetIcon" size="large" onAction="Ribbon_OnWrapSelectionWithFormula" keytip="W" screentip="Wrap Formula" supertip="Wraps every formula or value in the selection with a pattern you supply. Use [value] as the placeholder for existing cell content - e.g. =IFERROR([value], 0). Remembers the last-used pattern."/>
          <button id="BtnStaticSheetWorkbook" label="Static Sheet/WB" getImage="Ribbon_GetIcon" size="large" onAction="Ribbon_OnStaticSheetWorkbook" keytip="SW" screentip="Convert Formulas to Static Values" supertip="Permanently replaces all formulas with their current values across the active sheet or the entire workbook. Handles spill ranges correctly."/>
        </group>
        <group id="GrpCleanup" label="Data Tools">
          <button id="BtnCleanData" label="Clean Data" getImage="Ribbon_GetIcon" size="large" onAction="Ribbon_OnCleanData" keytip="CD" screentip="Clean Data" supertip="Trims spaces and removes non-printable characters for the selected scope (Range, Sheet, or Workbook)."/>
          <button id="BtnBreakLinks" label="Break Links" getImage="Ribbon_GetIcon" size="large" onAction="Ribbon_OnBreakExternalLinks" keytip="BL" screentip="Break External Links" supertip="Removes all external workbook references and keeps current values."/>
          <button id="BtnDateConv" label="Convert to Dates" getImage="Ribbon_GetIcon" size="large" onAction="Ribbon_OnConvertTextToProperDate" keytip="FX" screentip="Fix Text Dates" supertip="Converts text-based date strings in the selected column into proper Excel date values."/>
        </group>
        <group id="GrpExport" label="File Actions">
          <button id="BtnDuplicate" label="Duplicate Workbook" getImage="Ribbon_GetIcon" size="large" onAction="Ribbon_OnDuplicate" keytip="DP" screentip="Copy to Desktop" supertip="Creates a copy of this workbook on your desktop for quick sharing."/>
          <button id="BtnExport" label="Export Range" getImage="Ribbon_GetIcon" size="large" onAction="Ribbon_OnExport" keytip="EX" screentip="Export as Image or PDF" supertip="Exports the selected range (or the full used range if nothing is selected) to your Desktop as a PNG image or a fit-to-page PDF."/>
        </group>
        <group id="GrpStructure" label="Workspace">
          <button id="BtnFullScreen" label="Focus Mode" getImage="Ribbon_GetIcon" size="large" onAction="Ribbon_OnToggleFullScreen" keytip="FM" screentip="Toggle Focus Mode" supertip="Hides or restores worksheet chrome to maximise working area."/>
        </group>
        <group id="BeaverHelpGroup" label="Support">
          <button id="BtnHotkeys" label="Hotkeys" getImage="Ribbon_GetIcon" size="large" onAction="Ribbon_OnShowHotkeysHelp" keytip="H" screentip="Show Keyboard Shortcuts" supertip="Opens the Beaver keyboard shortcut reference, listing all registered hotkeys and their descriptions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e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Fazil Mohamedk</dc:creator>
  <cp:lastModifiedBy>Fazil Mohamedk</cp:lastModifiedBy>
  <cp:lastPrinted>2026-03-23T08:15:31Z</cp:lastPrinted>
  <dcterms:created xsi:type="dcterms:W3CDTF">2015-06-05T18:17:20Z</dcterms:created>
  <dcterms:modified xsi:type="dcterms:W3CDTF">2026-04-01T19:21:44Z</dcterms:modified>
</cp:coreProperties>
</file>